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Asistensi Metkom 24\"/>
    </mc:Choice>
  </mc:AlternateContent>
  <xr:revisionPtr revIDLastSave="0" documentId="8_{2A716744-680B-4BC9-87E9-3ABE995B4A6B}" xr6:coauthVersionLast="47" xr6:coauthVersionMax="47" xr10:uidLastSave="{00000000-0000-0000-0000-000000000000}"/>
  <bookViews>
    <workbookView xWindow="-110" yWindow="-110" windowWidth="19420" windowHeight="10300" activeTab="1" xr2:uid="{0BE16B16-BA55-4CB2-A4F3-F832E64983B6}"/>
  </bookViews>
  <sheets>
    <sheet name="DATA" sheetId="1" r:id="rId1"/>
    <sheet name="TOPOGRAF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AFFAN</author>
  </authors>
  <commentList>
    <comment ref="H1" authorId="0" shapeId="0" xr:uid="{E33DFC3D-4A6B-405F-9724-189A25108F40}">
      <text>
        <r>
          <rPr>
            <b/>
            <sz val="9"/>
            <color indexed="81"/>
            <rFont val="Tahoma"/>
            <family val="2"/>
          </rPr>
          <t>AFFAN:</t>
        </r>
        <r>
          <rPr>
            <sz val="9"/>
            <color indexed="81"/>
            <rFont val="Tahoma"/>
            <family val="2"/>
          </rPr>
          <t xml:space="preserve">
Delta H = n*sin deg elevasi</t>
        </r>
      </text>
    </comment>
    <comment ref="I1" authorId="0" shapeId="0" xr:uid="{E3BD8827-BB44-4B91-BB38-B9E98B1C8B50}">
      <text>
        <r>
          <rPr>
            <b/>
            <sz val="9"/>
            <color indexed="81"/>
            <rFont val="Tahoma"/>
            <family val="2"/>
          </rPr>
          <t>AFFAN:</t>
        </r>
        <r>
          <rPr>
            <sz val="9"/>
            <color indexed="81"/>
            <rFont val="Tahoma"/>
            <family val="2"/>
          </rPr>
          <t xml:space="preserve">
Elevasi = Zawal + Delta H</t>
        </r>
      </text>
    </comment>
  </commentList>
</comments>
</file>

<file path=xl/sharedStrings.xml><?xml version="1.0" encoding="utf-8"?>
<sst xmlns="http://schemas.openxmlformats.org/spreadsheetml/2006/main" count="15" uniqueCount="15">
  <si>
    <t>A</t>
  </si>
  <si>
    <t>B</t>
  </si>
  <si>
    <t>M</t>
  </si>
  <si>
    <t>N</t>
  </si>
  <si>
    <t>V</t>
  </si>
  <si>
    <t>I</t>
  </si>
  <si>
    <t>No</t>
  </si>
  <si>
    <t>Dari</t>
  </si>
  <si>
    <t>Ke</t>
  </si>
  <si>
    <t>Posisi</t>
  </si>
  <si>
    <t>X</t>
  </si>
  <si>
    <t>Y</t>
  </si>
  <si>
    <t>Sudut Elevasi (Deg)</t>
  </si>
  <si>
    <t>Delta H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</si>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</sst>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AEC8E4"/>
        <bgColor rgb="FFF4B083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3" xfId="1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3" fontId="3" fillId="0" borderId="6" xfId="2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0" fontId="3" fillId="0" borderId="9" xfId="0" applyFont="1" applyBorder="1"/>
    <xf numFmtId="0" fontId="3" fillId="0" borderId="10" xfId="2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2" fontId="5" fillId="4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2" fontId="5" fillId="4" borderId="21" xfId="0" applyNumberFormat="1" applyFont="1" applyFill="1" applyBorder="1" applyAlignment="1">
      <alignment horizontal="center" vertical="center"/>
    </xf>
    <xf numFmtId="2" fontId="5" fillId="4" borderId="24" xfId="0" applyNumberFormat="1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8AE36D5-78F8-4B3B-9ED8-5BD629BD7161}"/>
    <cellStyle name="Normal 3" xfId="2" xr:uid="{2711999F-9670-4364-84FD-CE9095290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C1AD-3009-4EA8-B9C4-691D956B5583}">
  <dimension ref="A1:F79"/>
  <sheetViews>
    <sheetView workbookViewId="0">
      <selection activeCell="J15" sqref="J15"/>
    </sheetView>
  </sheetViews>
  <sheetFormatPr defaultRowHeight="14.5" x14ac:dyDescent="0.35"/>
  <sheetData>
    <row r="1" spans="1:6" ht="15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35">
      <c r="A2" s="3">
        <v>0</v>
      </c>
      <c r="B2" s="3">
        <v>30</v>
      </c>
      <c r="C2" s="3">
        <v>10</v>
      </c>
      <c r="D2" s="4">
        <v>20</v>
      </c>
      <c r="E2" s="5">
        <v>55.359000000000002</v>
      </c>
      <c r="F2" s="6">
        <v>151.77000000000001</v>
      </c>
    </row>
    <row r="3" spans="1:6" x14ac:dyDescent="0.35">
      <c r="A3" s="7">
        <v>10</v>
      </c>
      <c r="B3" s="7">
        <v>40</v>
      </c>
      <c r="C3" s="7">
        <v>20</v>
      </c>
      <c r="D3" s="8">
        <v>30</v>
      </c>
      <c r="E3" s="9">
        <v>52.470999999999997</v>
      </c>
      <c r="F3" s="10">
        <v>127.16</v>
      </c>
    </row>
    <row r="4" spans="1:6" x14ac:dyDescent="0.35">
      <c r="A4" s="7">
        <v>20</v>
      </c>
      <c r="B4" s="7">
        <v>50</v>
      </c>
      <c r="C4" s="7">
        <v>30</v>
      </c>
      <c r="D4" s="8">
        <v>40</v>
      </c>
      <c r="E4" s="9">
        <v>55.155999999999999</v>
      </c>
      <c r="F4" s="10">
        <v>120.34</v>
      </c>
    </row>
    <row r="5" spans="1:6" x14ac:dyDescent="0.35">
      <c r="A5" s="7">
        <v>30</v>
      </c>
      <c r="B5" s="7">
        <v>60</v>
      </c>
      <c r="C5" s="7">
        <v>40</v>
      </c>
      <c r="D5" s="8">
        <v>50</v>
      </c>
      <c r="E5" s="9">
        <v>54.573999999999998</v>
      </c>
      <c r="F5" s="10">
        <v>96.52</v>
      </c>
    </row>
    <row r="6" spans="1:6" x14ac:dyDescent="0.35">
      <c r="A6" s="7">
        <v>40</v>
      </c>
      <c r="B6" s="7">
        <v>70</v>
      </c>
      <c r="C6" s="7">
        <v>50</v>
      </c>
      <c r="D6" s="8">
        <v>60</v>
      </c>
      <c r="E6" s="9">
        <v>50.051000000000002</v>
      </c>
      <c r="F6" s="10">
        <v>88.57</v>
      </c>
    </row>
    <row r="7" spans="1:6" x14ac:dyDescent="0.35">
      <c r="A7" s="7">
        <v>50</v>
      </c>
      <c r="B7" s="7">
        <v>80</v>
      </c>
      <c r="C7" s="7">
        <v>60</v>
      </c>
      <c r="D7" s="8">
        <v>70</v>
      </c>
      <c r="E7" s="9">
        <v>52.570999999999998</v>
      </c>
      <c r="F7" s="10">
        <v>95.81</v>
      </c>
    </row>
    <row r="8" spans="1:6" x14ac:dyDescent="0.35">
      <c r="A8" s="7">
        <v>60</v>
      </c>
      <c r="B8" s="7">
        <v>90</v>
      </c>
      <c r="C8" s="7">
        <v>70</v>
      </c>
      <c r="D8" s="8">
        <v>80</v>
      </c>
      <c r="E8" s="9">
        <v>54.87</v>
      </c>
      <c r="F8" s="10">
        <v>108.54</v>
      </c>
    </row>
    <row r="9" spans="1:6" x14ac:dyDescent="0.35">
      <c r="A9" s="7">
        <v>70</v>
      </c>
      <c r="B9" s="7">
        <v>100</v>
      </c>
      <c r="C9" s="7">
        <v>80</v>
      </c>
      <c r="D9" s="8">
        <v>90</v>
      </c>
      <c r="E9" s="9">
        <v>55.920999999999999</v>
      </c>
      <c r="F9" s="10">
        <v>59.62</v>
      </c>
    </row>
    <row r="10" spans="1:6" x14ac:dyDescent="0.35">
      <c r="A10" s="7">
        <v>80</v>
      </c>
      <c r="B10" s="7">
        <v>110</v>
      </c>
      <c r="C10" s="7">
        <v>90</v>
      </c>
      <c r="D10" s="8">
        <v>100</v>
      </c>
      <c r="E10" s="9">
        <v>55.716000000000001</v>
      </c>
      <c r="F10" s="10">
        <v>119.96</v>
      </c>
    </row>
    <row r="11" spans="1:6" x14ac:dyDescent="0.35">
      <c r="A11" s="7">
        <v>90</v>
      </c>
      <c r="B11" s="7">
        <v>120</v>
      </c>
      <c r="C11" s="7">
        <v>100</v>
      </c>
      <c r="D11" s="8">
        <v>110</v>
      </c>
      <c r="E11" s="9">
        <v>52.09</v>
      </c>
      <c r="F11" s="10">
        <v>108.44</v>
      </c>
    </row>
    <row r="12" spans="1:6" x14ac:dyDescent="0.35">
      <c r="A12" s="7">
        <v>100</v>
      </c>
      <c r="B12" s="7">
        <v>130</v>
      </c>
      <c r="C12" s="7">
        <v>110</v>
      </c>
      <c r="D12" s="8">
        <v>120</v>
      </c>
      <c r="E12" s="9">
        <v>54.308999999999997</v>
      </c>
      <c r="F12" s="11">
        <v>117.63</v>
      </c>
    </row>
    <row r="13" spans="1:6" x14ac:dyDescent="0.35">
      <c r="A13" s="7">
        <v>110</v>
      </c>
      <c r="B13" s="7">
        <v>140</v>
      </c>
      <c r="C13" s="7">
        <v>120</v>
      </c>
      <c r="D13" s="8">
        <v>130</v>
      </c>
      <c r="E13" s="9">
        <v>53.963999999999999</v>
      </c>
      <c r="F13" s="10">
        <v>108.33</v>
      </c>
    </row>
    <row r="14" spans="1:6" x14ac:dyDescent="0.35">
      <c r="A14" s="7">
        <v>120</v>
      </c>
      <c r="B14" s="7">
        <v>150</v>
      </c>
      <c r="C14" s="7">
        <v>130</v>
      </c>
      <c r="D14" s="8">
        <v>140</v>
      </c>
      <c r="E14" s="9">
        <v>55.54</v>
      </c>
      <c r="F14" s="10">
        <v>134.37</v>
      </c>
    </row>
    <row r="15" spans="1:6" x14ac:dyDescent="0.35">
      <c r="A15" s="7">
        <v>130</v>
      </c>
      <c r="B15" s="7">
        <v>160</v>
      </c>
      <c r="C15" s="7">
        <v>140</v>
      </c>
      <c r="D15" s="8">
        <v>150</v>
      </c>
      <c r="E15" s="9">
        <v>54.889000000000003</v>
      </c>
      <c r="F15" s="10">
        <v>136.96</v>
      </c>
    </row>
    <row r="16" spans="1:6" x14ac:dyDescent="0.35">
      <c r="A16" s="7">
        <v>140</v>
      </c>
      <c r="B16" s="7">
        <v>170</v>
      </c>
      <c r="C16" s="7">
        <v>150</v>
      </c>
      <c r="D16" s="8">
        <v>160</v>
      </c>
      <c r="E16" s="9">
        <v>53.518000000000001</v>
      </c>
      <c r="F16" s="10">
        <v>139.03</v>
      </c>
    </row>
    <row r="17" spans="1:6" x14ac:dyDescent="0.35">
      <c r="A17" s="7">
        <v>150</v>
      </c>
      <c r="B17" s="7">
        <v>180</v>
      </c>
      <c r="C17" s="7">
        <v>160</v>
      </c>
      <c r="D17" s="8">
        <v>170</v>
      </c>
      <c r="E17" s="9">
        <v>53.706000000000003</v>
      </c>
      <c r="F17" s="10">
        <v>146.88999999999999</v>
      </c>
    </row>
    <row r="18" spans="1:6" x14ac:dyDescent="0.35">
      <c r="A18" s="7">
        <v>160</v>
      </c>
      <c r="B18" s="7">
        <v>190</v>
      </c>
      <c r="C18" s="7">
        <v>170</v>
      </c>
      <c r="D18" s="8">
        <v>180</v>
      </c>
      <c r="E18" s="9">
        <v>56.893999999999998</v>
      </c>
      <c r="F18" s="10">
        <v>135.22</v>
      </c>
    </row>
    <row r="19" spans="1:6" ht="15" thickBot="1" x14ac:dyDescent="0.4">
      <c r="A19" s="12">
        <v>170</v>
      </c>
      <c r="B19" s="12">
        <v>200</v>
      </c>
      <c r="C19" s="12">
        <v>180</v>
      </c>
      <c r="D19" s="13">
        <v>190</v>
      </c>
      <c r="E19" s="14">
        <v>55.075000000000003</v>
      </c>
      <c r="F19" s="15">
        <v>165.21</v>
      </c>
    </row>
    <row r="20" spans="1:6" x14ac:dyDescent="0.35">
      <c r="A20" s="3">
        <v>0</v>
      </c>
      <c r="B20" s="3">
        <v>50</v>
      </c>
      <c r="C20" s="3">
        <v>20</v>
      </c>
      <c r="D20" s="4">
        <v>30</v>
      </c>
      <c r="E20" s="16">
        <v>55.780999999999999</v>
      </c>
      <c r="F20" s="17">
        <v>360.71</v>
      </c>
    </row>
    <row r="21" spans="1:6" x14ac:dyDescent="0.35">
      <c r="A21" s="7">
        <v>10</v>
      </c>
      <c r="B21" s="7">
        <v>60</v>
      </c>
      <c r="C21" s="7">
        <v>30</v>
      </c>
      <c r="D21" s="8">
        <v>40</v>
      </c>
      <c r="E21" s="9">
        <v>55.466000000000001</v>
      </c>
      <c r="F21" s="18">
        <v>355.42</v>
      </c>
    </row>
    <row r="22" spans="1:6" x14ac:dyDescent="0.35">
      <c r="A22" s="7">
        <v>20</v>
      </c>
      <c r="B22" s="7">
        <v>70</v>
      </c>
      <c r="C22" s="7">
        <v>40</v>
      </c>
      <c r="D22" s="8">
        <v>50</v>
      </c>
      <c r="E22" s="9">
        <v>55.286999999999999</v>
      </c>
      <c r="F22" s="10">
        <v>296.19</v>
      </c>
    </row>
    <row r="23" spans="1:6" x14ac:dyDescent="0.35">
      <c r="A23" s="7">
        <v>30</v>
      </c>
      <c r="B23" s="7">
        <v>80</v>
      </c>
      <c r="C23" s="7">
        <v>50</v>
      </c>
      <c r="D23" s="8">
        <v>60</v>
      </c>
      <c r="E23" s="9">
        <v>55.954999999999998</v>
      </c>
      <c r="F23" s="10">
        <v>311.07</v>
      </c>
    </row>
    <row r="24" spans="1:6" x14ac:dyDescent="0.35">
      <c r="A24" s="7">
        <v>40</v>
      </c>
      <c r="B24" s="7">
        <v>90</v>
      </c>
      <c r="C24" s="7">
        <v>60</v>
      </c>
      <c r="D24" s="8">
        <v>70</v>
      </c>
      <c r="E24" s="9">
        <v>57.488</v>
      </c>
      <c r="F24" s="10">
        <v>314.98</v>
      </c>
    </row>
    <row r="25" spans="1:6" x14ac:dyDescent="0.35">
      <c r="A25" s="7">
        <v>50</v>
      </c>
      <c r="B25" s="7">
        <v>100</v>
      </c>
      <c r="C25" s="7">
        <v>70</v>
      </c>
      <c r="D25" s="8">
        <v>80</v>
      </c>
      <c r="E25" s="9">
        <v>55.970999999999997</v>
      </c>
      <c r="F25" s="10">
        <v>327.33999999999997</v>
      </c>
    </row>
    <row r="26" spans="1:6" x14ac:dyDescent="0.35">
      <c r="A26" s="7">
        <v>60</v>
      </c>
      <c r="B26" s="7">
        <v>110</v>
      </c>
      <c r="C26" s="7">
        <v>80</v>
      </c>
      <c r="D26" s="8">
        <v>90</v>
      </c>
      <c r="E26" s="9">
        <v>55.387</v>
      </c>
      <c r="F26" s="10">
        <v>390.3</v>
      </c>
    </row>
    <row r="27" spans="1:6" x14ac:dyDescent="0.35">
      <c r="A27" s="7">
        <v>70</v>
      </c>
      <c r="B27" s="7">
        <v>120</v>
      </c>
      <c r="C27" s="7">
        <v>90</v>
      </c>
      <c r="D27" s="8">
        <v>100</v>
      </c>
      <c r="E27" s="9">
        <v>56.662999999999997</v>
      </c>
      <c r="F27" s="10">
        <v>340.78</v>
      </c>
    </row>
    <row r="28" spans="1:6" x14ac:dyDescent="0.35">
      <c r="A28" s="7">
        <v>80</v>
      </c>
      <c r="B28" s="7">
        <v>130</v>
      </c>
      <c r="C28" s="7">
        <v>100</v>
      </c>
      <c r="D28" s="8">
        <v>110</v>
      </c>
      <c r="E28" s="9">
        <v>56.500999999999998</v>
      </c>
      <c r="F28" s="10">
        <v>353.6</v>
      </c>
    </row>
    <row r="29" spans="1:6" x14ac:dyDescent="0.35">
      <c r="A29" s="7">
        <v>90</v>
      </c>
      <c r="B29" s="7">
        <v>140</v>
      </c>
      <c r="C29" s="7">
        <v>110</v>
      </c>
      <c r="D29" s="8">
        <v>120</v>
      </c>
      <c r="E29" s="9">
        <v>57.511000000000003</v>
      </c>
      <c r="F29" s="10">
        <v>395.79</v>
      </c>
    </row>
    <row r="30" spans="1:6" x14ac:dyDescent="0.35">
      <c r="A30" s="7">
        <v>100</v>
      </c>
      <c r="B30" s="7">
        <v>150</v>
      </c>
      <c r="C30" s="7">
        <v>120</v>
      </c>
      <c r="D30" s="8">
        <v>130</v>
      </c>
      <c r="E30" s="9">
        <v>51.768000000000001</v>
      </c>
      <c r="F30" s="10">
        <v>333.59</v>
      </c>
    </row>
    <row r="31" spans="1:6" x14ac:dyDescent="0.35">
      <c r="A31" s="7">
        <v>110</v>
      </c>
      <c r="B31" s="7">
        <v>160</v>
      </c>
      <c r="C31" s="7">
        <v>130</v>
      </c>
      <c r="D31" s="8">
        <v>140</v>
      </c>
      <c r="E31" s="9">
        <v>55.881</v>
      </c>
      <c r="F31" s="10">
        <v>392.9</v>
      </c>
    </row>
    <row r="32" spans="1:6" x14ac:dyDescent="0.35">
      <c r="A32" s="7">
        <v>120</v>
      </c>
      <c r="B32" s="7">
        <v>170</v>
      </c>
      <c r="C32" s="7">
        <v>140</v>
      </c>
      <c r="D32" s="8">
        <v>150</v>
      </c>
      <c r="E32" s="9">
        <v>57.006</v>
      </c>
      <c r="F32" s="10">
        <v>398.89</v>
      </c>
    </row>
    <row r="33" spans="1:6" x14ac:dyDescent="0.35">
      <c r="A33" s="7">
        <v>130</v>
      </c>
      <c r="B33" s="7">
        <v>180</v>
      </c>
      <c r="C33" s="7">
        <v>150</v>
      </c>
      <c r="D33" s="8">
        <v>160</v>
      </c>
      <c r="E33" s="9">
        <v>57.442</v>
      </c>
      <c r="F33" s="10">
        <v>414.76</v>
      </c>
    </row>
    <row r="34" spans="1:6" ht="15" thickBot="1" x14ac:dyDescent="0.4">
      <c r="A34" s="7">
        <v>140</v>
      </c>
      <c r="B34" s="7">
        <v>190</v>
      </c>
      <c r="C34" s="7">
        <v>160</v>
      </c>
      <c r="D34" s="8">
        <v>170</v>
      </c>
      <c r="E34" s="9">
        <v>57.697000000000003</v>
      </c>
      <c r="F34" s="10">
        <v>444.53</v>
      </c>
    </row>
    <row r="35" spans="1:6" ht="15" thickBot="1" x14ac:dyDescent="0.4">
      <c r="A35" s="12">
        <v>150</v>
      </c>
      <c r="B35" s="12">
        <v>200</v>
      </c>
      <c r="C35" s="12">
        <v>170</v>
      </c>
      <c r="D35" s="13">
        <v>180</v>
      </c>
      <c r="E35" s="14">
        <v>56.076000000000001</v>
      </c>
      <c r="F35" s="6">
        <v>393.76</v>
      </c>
    </row>
    <row r="36" spans="1:6" x14ac:dyDescent="0.35">
      <c r="A36" s="3">
        <v>0</v>
      </c>
      <c r="B36" s="3">
        <v>70</v>
      </c>
      <c r="C36" s="3">
        <v>30</v>
      </c>
      <c r="D36" s="4">
        <v>40</v>
      </c>
      <c r="E36" s="5">
        <v>48.344000000000001</v>
      </c>
      <c r="F36" s="3">
        <v>583.11</v>
      </c>
    </row>
    <row r="37" spans="1:6" x14ac:dyDescent="0.35">
      <c r="A37" s="7">
        <v>10</v>
      </c>
      <c r="B37" s="7">
        <v>80</v>
      </c>
      <c r="C37" s="7">
        <v>40</v>
      </c>
      <c r="D37" s="8">
        <v>50</v>
      </c>
      <c r="E37" s="19">
        <v>52.631</v>
      </c>
      <c r="F37" s="8">
        <v>530.21</v>
      </c>
    </row>
    <row r="38" spans="1:6" x14ac:dyDescent="0.35">
      <c r="A38" s="7">
        <v>20</v>
      </c>
      <c r="B38" s="7">
        <v>90</v>
      </c>
      <c r="C38" s="7">
        <v>50</v>
      </c>
      <c r="D38" s="8">
        <v>60</v>
      </c>
      <c r="E38" s="19">
        <v>52.021000000000001</v>
      </c>
      <c r="F38" s="8">
        <v>530.04</v>
      </c>
    </row>
    <row r="39" spans="1:6" x14ac:dyDescent="0.35">
      <c r="A39" s="7">
        <v>30</v>
      </c>
      <c r="B39" s="7">
        <v>100</v>
      </c>
      <c r="C39" s="7">
        <v>60</v>
      </c>
      <c r="D39" s="8">
        <v>70</v>
      </c>
      <c r="E39" s="19">
        <v>56.311999999999998</v>
      </c>
      <c r="F39" s="8">
        <v>610.27</v>
      </c>
    </row>
    <row r="40" spans="1:6" x14ac:dyDescent="0.35">
      <c r="A40" s="7">
        <v>40</v>
      </c>
      <c r="B40" s="7">
        <v>110</v>
      </c>
      <c r="C40" s="7">
        <v>70</v>
      </c>
      <c r="D40" s="8">
        <v>80</v>
      </c>
      <c r="E40" s="19">
        <v>52.896000000000001</v>
      </c>
      <c r="F40" s="8">
        <v>650.88</v>
      </c>
    </row>
    <row r="41" spans="1:6" x14ac:dyDescent="0.35">
      <c r="A41" s="7">
        <v>50</v>
      </c>
      <c r="B41" s="7">
        <v>120</v>
      </c>
      <c r="C41" s="7">
        <v>80</v>
      </c>
      <c r="D41" s="8">
        <v>90</v>
      </c>
      <c r="E41" s="19">
        <v>38.302</v>
      </c>
      <c r="F41" s="8">
        <v>550.67999999999995</v>
      </c>
    </row>
    <row r="42" spans="1:6" x14ac:dyDescent="0.35">
      <c r="A42" s="7">
        <v>60</v>
      </c>
      <c r="B42" s="7">
        <v>130</v>
      </c>
      <c r="C42" s="7">
        <v>90</v>
      </c>
      <c r="D42" s="8">
        <v>100</v>
      </c>
      <c r="E42" s="19">
        <v>48.064999999999998</v>
      </c>
      <c r="F42" s="8">
        <v>586.84</v>
      </c>
    </row>
    <row r="43" spans="1:6" x14ac:dyDescent="0.35">
      <c r="A43" s="7">
        <v>70</v>
      </c>
      <c r="B43" s="7">
        <v>140</v>
      </c>
      <c r="C43" s="7">
        <v>100</v>
      </c>
      <c r="D43" s="8">
        <v>110</v>
      </c>
      <c r="E43" s="19">
        <v>48.305999999999997</v>
      </c>
      <c r="F43" s="8">
        <v>599.57000000000005</v>
      </c>
    </row>
    <row r="44" spans="1:6" x14ac:dyDescent="0.35">
      <c r="A44" s="7">
        <v>80</v>
      </c>
      <c r="B44" s="7">
        <v>150</v>
      </c>
      <c r="C44" s="7">
        <v>110</v>
      </c>
      <c r="D44" s="8">
        <v>120</v>
      </c>
      <c r="E44" s="19">
        <v>31.585999999999999</v>
      </c>
      <c r="F44" s="8">
        <v>434.91</v>
      </c>
    </row>
    <row r="45" spans="1:6" x14ac:dyDescent="0.35">
      <c r="A45" s="7">
        <v>90</v>
      </c>
      <c r="B45" s="7">
        <v>160</v>
      </c>
      <c r="C45" s="7">
        <v>120</v>
      </c>
      <c r="D45" s="8">
        <v>130</v>
      </c>
      <c r="E45" s="19">
        <v>53.66</v>
      </c>
      <c r="F45" s="8">
        <v>677.49</v>
      </c>
    </row>
    <row r="46" spans="1:6" x14ac:dyDescent="0.35">
      <c r="A46" s="7">
        <v>100</v>
      </c>
      <c r="B46" s="7">
        <v>170</v>
      </c>
      <c r="C46" s="7">
        <v>130</v>
      </c>
      <c r="D46" s="8">
        <v>140</v>
      </c>
      <c r="E46" s="19">
        <v>45.69</v>
      </c>
      <c r="F46" s="8">
        <v>644.26</v>
      </c>
    </row>
    <row r="47" spans="1:6" x14ac:dyDescent="0.35">
      <c r="A47" s="7">
        <v>110</v>
      </c>
      <c r="B47" s="7">
        <v>180</v>
      </c>
      <c r="C47" s="7">
        <v>140</v>
      </c>
      <c r="D47" s="8">
        <v>150</v>
      </c>
      <c r="E47" s="19">
        <v>44.429000000000002</v>
      </c>
      <c r="F47" s="8">
        <v>635.01</v>
      </c>
    </row>
    <row r="48" spans="1:6" x14ac:dyDescent="0.35">
      <c r="A48" s="7">
        <v>120</v>
      </c>
      <c r="B48" s="7">
        <v>190</v>
      </c>
      <c r="C48" s="7">
        <v>150</v>
      </c>
      <c r="D48" s="8">
        <v>160</v>
      </c>
      <c r="E48" s="20">
        <v>33.26</v>
      </c>
      <c r="F48" s="8">
        <v>472.92</v>
      </c>
    </row>
    <row r="49" spans="1:6" ht="15" thickBot="1" x14ac:dyDescent="0.4">
      <c r="A49" s="21">
        <v>130</v>
      </c>
      <c r="B49" s="21">
        <v>200</v>
      </c>
      <c r="C49" s="21">
        <v>160</v>
      </c>
      <c r="D49" s="22">
        <v>170</v>
      </c>
      <c r="E49" s="23">
        <v>39.883000000000003</v>
      </c>
      <c r="F49" s="21">
        <v>559.73</v>
      </c>
    </row>
    <row r="50" spans="1:6" x14ac:dyDescent="0.35">
      <c r="A50" s="24">
        <v>0</v>
      </c>
      <c r="B50" s="24">
        <v>90</v>
      </c>
      <c r="C50" s="24">
        <v>40</v>
      </c>
      <c r="D50" s="25">
        <v>50</v>
      </c>
      <c r="E50" s="26">
        <v>32.692</v>
      </c>
      <c r="F50" s="24">
        <v>493.44</v>
      </c>
    </row>
    <row r="51" spans="1:6" x14ac:dyDescent="0.35">
      <c r="A51" s="7">
        <v>10</v>
      </c>
      <c r="B51" s="7">
        <v>100</v>
      </c>
      <c r="C51" s="7">
        <v>50</v>
      </c>
      <c r="D51" s="8">
        <v>60</v>
      </c>
      <c r="E51" s="19">
        <v>42.536000000000001</v>
      </c>
      <c r="F51" s="8">
        <v>693.95</v>
      </c>
    </row>
    <row r="52" spans="1:6" x14ac:dyDescent="0.35">
      <c r="A52" s="7">
        <v>20</v>
      </c>
      <c r="B52" s="7">
        <v>110</v>
      </c>
      <c r="C52" s="7">
        <v>60</v>
      </c>
      <c r="D52" s="8">
        <v>70</v>
      </c>
      <c r="E52" s="19">
        <v>30.658000000000001</v>
      </c>
      <c r="F52" s="8">
        <v>552.17999999999995</v>
      </c>
    </row>
    <row r="53" spans="1:6" x14ac:dyDescent="0.35">
      <c r="A53" s="7">
        <v>30</v>
      </c>
      <c r="B53" s="7">
        <v>120</v>
      </c>
      <c r="C53" s="7">
        <v>70</v>
      </c>
      <c r="D53" s="8">
        <v>80</v>
      </c>
      <c r="E53" s="19">
        <v>25.623000000000001</v>
      </c>
      <c r="F53" s="8">
        <v>529.41</v>
      </c>
    </row>
    <row r="54" spans="1:6" x14ac:dyDescent="0.35">
      <c r="A54" s="7">
        <v>40</v>
      </c>
      <c r="B54" s="7">
        <v>130</v>
      </c>
      <c r="C54" s="7">
        <v>80</v>
      </c>
      <c r="D54" s="8">
        <v>90</v>
      </c>
      <c r="E54" s="19">
        <v>20.866</v>
      </c>
      <c r="F54" s="8">
        <v>575.84</v>
      </c>
    </row>
    <row r="55" spans="1:6" x14ac:dyDescent="0.35">
      <c r="A55" s="7">
        <v>50</v>
      </c>
      <c r="B55" s="7">
        <v>140</v>
      </c>
      <c r="C55" s="7">
        <v>90</v>
      </c>
      <c r="D55" s="8">
        <v>100</v>
      </c>
      <c r="E55" s="19">
        <v>19.763000000000002</v>
      </c>
      <c r="F55" s="8">
        <v>423.67</v>
      </c>
    </row>
    <row r="56" spans="1:6" x14ac:dyDescent="0.35">
      <c r="A56" s="7">
        <v>60</v>
      </c>
      <c r="B56" s="7">
        <v>150</v>
      </c>
      <c r="C56" s="7">
        <v>100</v>
      </c>
      <c r="D56" s="8">
        <v>110</v>
      </c>
      <c r="E56" s="19">
        <v>21</v>
      </c>
      <c r="F56" s="8">
        <v>435.93</v>
      </c>
    </row>
    <row r="57" spans="1:6" x14ac:dyDescent="0.35">
      <c r="A57" s="7">
        <v>70</v>
      </c>
      <c r="B57" s="7">
        <v>160</v>
      </c>
      <c r="C57" s="7">
        <v>110</v>
      </c>
      <c r="D57" s="8">
        <v>120</v>
      </c>
      <c r="E57" s="19">
        <v>29.445</v>
      </c>
      <c r="F57" s="8">
        <v>614.76</v>
      </c>
    </row>
    <row r="58" spans="1:6" x14ac:dyDescent="0.35">
      <c r="A58" s="7">
        <v>80</v>
      </c>
      <c r="B58" s="7">
        <v>170</v>
      </c>
      <c r="C58" s="7">
        <v>120</v>
      </c>
      <c r="D58" s="8">
        <v>130</v>
      </c>
      <c r="E58" s="19">
        <v>28.451000000000001</v>
      </c>
      <c r="F58" s="8">
        <v>561.73</v>
      </c>
    </row>
    <row r="59" spans="1:6" x14ac:dyDescent="0.35">
      <c r="A59" s="7">
        <v>90</v>
      </c>
      <c r="B59" s="7">
        <v>180</v>
      </c>
      <c r="C59" s="7">
        <v>130</v>
      </c>
      <c r="D59" s="8">
        <v>140</v>
      </c>
      <c r="E59" s="19">
        <v>26.765000000000001</v>
      </c>
      <c r="F59" s="8">
        <v>645.57000000000005</v>
      </c>
    </row>
    <row r="60" spans="1:6" x14ac:dyDescent="0.35">
      <c r="A60" s="7">
        <v>100</v>
      </c>
      <c r="B60" s="7">
        <v>190</v>
      </c>
      <c r="C60" s="7">
        <v>140</v>
      </c>
      <c r="D60" s="8">
        <v>150</v>
      </c>
      <c r="E60" s="19">
        <v>21.111999999999998</v>
      </c>
      <c r="F60" s="8">
        <v>508.67</v>
      </c>
    </row>
    <row r="61" spans="1:6" ht="15" thickBot="1" x14ac:dyDescent="0.4">
      <c r="A61" s="12">
        <v>110</v>
      </c>
      <c r="B61" s="12">
        <v>200</v>
      </c>
      <c r="C61" s="12">
        <v>150</v>
      </c>
      <c r="D61" s="13">
        <v>160</v>
      </c>
      <c r="E61" s="27">
        <v>28.922999999999998</v>
      </c>
      <c r="F61" s="13">
        <v>663.16</v>
      </c>
    </row>
    <row r="62" spans="1:6" x14ac:dyDescent="0.35">
      <c r="A62" s="3">
        <v>0</v>
      </c>
      <c r="B62" s="3">
        <v>110</v>
      </c>
      <c r="C62" s="3">
        <v>50</v>
      </c>
      <c r="D62" s="4">
        <v>60</v>
      </c>
      <c r="E62" s="28">
        <v>48.313000000000002</v>
      </c>
      <c r="F62" s="3">
        <v>351.43</v>
      </c>
    </row>
    <row r="63" spans="1:6" x14ac:dyDescent="0.35">
      <c r="A63" s="7">
        <v>10</v>
      </c>
      <c r="B63" s="7">
        <v>120</v>
      </c>
      <c r="C63" s="7">
        <v>60</v>
      </c>
      <c r="D63" s="8">
        <v>70</v>
      </c>
      <c r="E63" s="19">
        <v>20.213000000000001</v>
      </c>
      <c r="F63" s="8">
        <v>541.57000000000005</v>
      </c>
    </row>
    <row r="64" spans="1:6" x14ac:dyDescent="0.35">
      <c r="A64" s="7">
        <v>20</v>
      </c>
      <c r="B64" s="7">
        <v>130</v>
      </c>
      <c r="C64" s="7">
        <v>70</v>
      </c>
      <c r="D64" s="8">
        <v>80</v>
      </c>
      <c r="E64" s="19">
        <v>17.629000000000001</v>
      </c>
      <c r="F64" s="8">
        <v>559.53</v>
      </c>
    </row>
    <row r="65" spans="1:6" x14ac:dyDescent="0.35">
      <c r="A65" s="7">
        <v>30</v>
      </c>
      <c r="B65" s="7">
        <v>140</v>
      </c>
      <c r="C65" s="7">
        <v>80</v>
      </c>
      <c r="D65" s="8">
        <v>90</v>
      </c>
      <c r="E65" s="19">
        <v>13.747999999999999</v>
      </c>
      <c r="F65" s="8">
        <v>527.92999999999995</v>
      </c>
    </row>
    <row r="66" spans="1:6" x14ac:dyDescent="0.35">
      <c r="A66" s="7">
        <v>40</v>
      </c>
      <c r="B66" s="7">
        <v>150</v>
      </c>
      <c r="C66" s="7">
        <v>90</v>
      </c>
      <c r="D66" s="8">
        <v>100</v>
      </c>
      <c r="E66" s="19">
        <v>15.755000000000001</v>
      </c>
      <c r="F66" s="8">
        <v>561.65</v>
      </c>
    </row>
    <row r="67" spans="1:6" x14ac:dyDescent="0.35">
      <c r="A67" s="7">
        <v>50</v>
      </c>
      <c r="B67" s="7">
        <v>160</v>
      </c>
      <c r="C67" s="7">
        <v>100</v>
      </c>
      <c r="D67" s="8">
        <v>110</v>
      </c>
      <c r="E67" s="19">
        <v>16.722999999999999</v>
      </c>
      <c r="F67" s="8">
        <v>468.6</v>
      </c>
    </row>
    <row r="68" spans="1:6" x14ac:dyDescent="0.35">
      <c r="A68" s="7">
        <v>60</v>
      </c>
      <c r="B68" s="7">
        <v>170</v>
      </c>
      <c r="C68" s="7">
        <v>110</v>
      </c>
      <c r="D68" s="8">
        <v>120</v>
      </c>
      <c r="E68" s="19">
        <v>24.106999999999999</v>
      </c>
      <c r="F68" s="8">
        <v>592.58000000000004</v>
      </c>
    </row>
    <row r="69" spans="1:6" x14ac:dyDescent="0.35">
      <c r="A69" s="7">
        <v>70</v>
      </c>
      <c r="B69" s="7">
        <v>180</v>
      </c>
      <c r="C69" s="7">
        <v>120</v>
      </c>
      <c r="D69" s="8">
        <v>130</v>
      </c>
      <c r="E69" s="19">
        <v>24.19</v>
      </c>
      <c r="F69" s="8">
        <v>587.1</v>
      </c>
    </row>
    <row r="70" spans="1:6" x14ac:dyDescent="0.35">
      <c r="A70" s="7">
        <v>80</v>
      </c>
      <c r="B70" s="7">
        <v>190</v>
      </c>
      <c r="C70" s="7">
        <v>130</v>
      </c>
      <c r="D70" s="8">
        <v>140</v>
      </c>
      <c r="E70" s="19">
        <v>16.77</v>
      </c>
      <c r="F70" s="8">
        <v>530.9</v>
      </c>
    </row>
    <row r="71" spans="1:6" ht="15" thickBot="1" x14ac:dyDescent="0.4">
      <c r="A71" s="21">
        <v>90</v>
      </c>
      <c r="B71" s="21">
        <v>200</v>
      </c>
      <c r="C71" s="21">
        <v>140</v>
      </c>
      <c r="D71" s="22">
        <v>150</v>
      </c>
      <c r="E71" s="19">
        <v>22.274999999999999</v>
      </c>
      <c r="F71" s="8">
        <v>579.09</v>
      </c>
    </row>
    <row r="72" spans="1:6" x14ac:dyDescent="0.35">
      <c r="A72" s="3">
        <v>0</v>
      </c>
      <c r="B72" s="3">
        <v>130</v>
      </c>
      <c r="C72" s="3">
        <v>60</v>
      </c>
      <c r="D72" s="4">
        <v>70</v>
      </c>
      <c r="E72" s="28">
        <v>15.702</v>
      </c>
      <c r="F72" s="3">
        <v>593.17999999999995</v>
      </c>
    </row>
    <row r="73" spans="1:6" x14ac:dyDescent="0.35">
      <c r="A73" s="7">
        <v>10</v>
      </c>
      <c r="B73" s="7">
        <v>140</v>
      </c>
      <c r="C73" s="7">
        <v>70</v>
      </c>
      <c r="D73" s="8">
        <v>80</v>
      </c>
      <c r="E73" s="19">
        <v>9.3409999999999993</v>
      </c>
      <c r="F73" s="8">
        <v>467.27</v>
      </c>
    </row>
    <row r="74" spans="1:6" x14ac:dyDescent="0.35">
      <c r="A74" s="7">
        <v>20</v>
      </c>
      <c r="B74" s="7">
        <v>150</v>
      </c>
      <c r="C74" s="7">
        <v>80</v>
      </c>
      <c r="D74" s="8">
        <v>90</v>
      </c>
      <c r="E74" s="19">
        <v>9.3510000000000009</v>
      </c>
      <c r="F74" s="8">
        <v>506.94</v>
      </c>
    </row>
    <row r="75" spans="1:6" x14ac:dyDescent="0.35">
      <c r="A75" s="7">
        <v>30</v>
      </c>
      <c r="B75" s="7">
        <v>160</v>
      </c>
      <c r="C75" s="7">
        <v>90</v>
      </c>
      <c r="D75" s="8">
        <v>100</v>
      </c>
      <c r="E75" s="19">
        <v>14.577</v>
      </c>
      <c r="F75" s="8">
        <v>643.12</v>
      </c>
    </row>
    <row r="76" spans="1:6" x14ac:dyDescent="0.35">
      <c r="A76" s="7">
        <v>40</v>
      </c>
      <c r="B76" s="7">
        <v>170</v>
      </c>
      <c r="C76" s="7">
        <v>100</v>
      </c>
      <c r="D76" s="8">
        <v>110</v>
      </c>
      <c r="E76" s="19">
        <v>14.215</v>
      </c>
      <c r="F76" s="8">
        <v>612.01</v>
      </c>
    </row>
    <row r="77" spans="1:6" x14ac:dyDescent="0.35">
      <c r="A77" s="7">
        <v>50</v>
      </c>
      <c r="B77" s="7">
        <v>180</v>
      </c>
      <c r="C77" s="7">
        <v>110</v>
      </c>
      <c r="D77" s="8">
        <v>120</v>
      </c>
      <c r="E77" s="19">
        <v>30.105</v>
      </c>
      <c r="F77" s="8">
        <v>601.33000000000004</v>
      </c>
    </row>
    <row r="78" spans="1:6" x14ac:dyDescent="0.35">
      <c r="A78" s="12">
        <v>60</v>
      </c>
      <c r="B78" s="12">
        <v>190</v>
      </c>
      <c r="C78" s="12">
        <v>120</v>
      </c>
      <c r="D78" s="13">
        <v>130</v>
      </c>
      <c r="E78" s="27">
        <v>17.698</v>
      </c>
      <c r="F78" s="13">
        <v>507</v>
      </c>
    </row>
    <row r="79" spans="1:6" ht="15" thickBot="1" x14ac:dyDescent="0.4">
      <c r="A79" s="29">
        <v>70</v>
      </c>
      <c r="B79" s="29">
        <v>200</v>
      </c>
      <c r="C79" s="29">
        <v>130</v>
      </c>
      <c r="D79" s="30">
        <v>140</v>
      </c>
      <c r="E79" s="31">
        <v>24.126000000000001</v>
      </c>
      <c r="F79" s="29">
        <v>764.54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B1DD-1F84-4133-8C3B-BB66DDE385D6}">
  <dimension ref="A1:I22"/>
  <sheetViews>
    <sheetView tabSelected="1" workbookViewId="0">
      <selection activeCell="J12" sqref="J12"/>
    </sheetView>
  </sheetViews>
  <sheetFormatPr defaultRowHeight="14.5" x14ac:dyDescent="0.35"/>
  <sheetData>
    <row r="1" spans="1:9" ht="39.5" thickBot="1" x14ac:dyDescent="0.4">
      <c r="A1" s="32" t="s">
        <v>6</v>
      </c>
      <c r="B1" s="33" t="s">
        <v>7</v>
      </c>
      <c r="C1" s="33" t="s">
        <v>8</v>
      </c>
      <c r="D1" s="33" t="s">
        <v>9</v>
      </c>
      <c r="E1" s="33" t="s">
        <v>10</v>
      </c>
      <c r="F1" s="33" t="s">
        <v>11</v>
      </c>
      <c r="G1" s="34" t="s">
        <v>12</v>
      </c>
      <c r="H1" s="33" t="s">
        <v>13</v>
      </c>
      <c r="I1" s="35" t="s">
        <v>14</v>
      </c>
    </row>
    <row r="2" spans="1:9" x14ac:dyDescent="0.35">
      <c r="A2" s="36">
        <v>1</v>
      </c>
      <c r="B2" s="37"/>
      <c r="C2" s="37">
        <v>0</v>
      </c>
      <c r="D2" s="37">
        <v>0</v>
      </c>
      <c r="E2" s="37">
        <v>391903</v>
      </c>
      <c r="F2" s="37">
        <v>9134894</v>
      </c>
      <c r="G2" s="38">
        <v>0</v>
      </c>
      <c r="H2" s="38"/>
      <c r="I2" s="39">
        <v>35</v>
      </c>
    </row>
    <row r="3" spans="1:9" x14ac:dyDescent="0.35">
      <c r="A3" s="40">
        <v>2</v>
      </c>
      <c r="B3" s="41">
        <v>0</v>
      </c>
      <c r="C3" s="41">
        <v>10</v>
      </c>
      <c r="D3" s="41">
        <v>10</v>
      </c>
      <c r="E3" s="41">
        <v>391905</v>
      </c>
      <c r="F3" s="41">
        <v>9134878</v>
      </c>
      <c r="G3" s="41">
        <v>1</v>
      </c>
      <c r="H3" s="42">
        <f>10*(SIN(RADIANS(G3)))</f>
        <v>0.17452406437283513</v>
      </c>
      <c r="I3" s="43">
        <f>H3+I2</f>
        <v>35.174524064372832</v>
      </c>
    </row>
    <row r="4" spans="1:9" x14ac:dyDescent="0.35">
      <c r="A4" s="40">
        <v>3</v>
      </c>
      <c r="B4" s="41">
        <v>10</v>
      </c>
      <c r="C4" s="41">
        <v>20</v>
      </c>
      <c r="D4" s="41">
        <v>20</v>
      </c>
      <c r="E4" s="41">
        <v>391919</v>
      </c>
      <c r="F4" s="44">
        <v>913887</v>
      </c>
      <c r="G4" s="41">
        <v>1</v>
      </c>
      <c r="H4" s="42">
        <f t="shared" ref="H4:H22" si="0">10*(SIN(RADIANS(G4)))</f>
        <v>0.17452406437283513</v>
      </c>
      <c r="I4" s="43">
        <f t="shared" ref="I4:I22" si="1">H4+I3</f>
        <v>35.349048128745665</v>
      </c>
    </row>
    <row r="5" spans="1:9" x14ac:dyDescent="0.35">
      <c r="A5" s="40">
        <v>4</v>
      </c>
      <c r="B5" s="41">
        <v>20</v>
      </c>
      <c r="C5" s="41">
        <v>30</v>
      </c>
      <c r="D5" s="41">
        <v>30</v>
      </c>
      <c r="E5" s="41">
        <v>391930</v>
      </c>
      <c r="F5" s="41">
        <v>9134883</v>
      </c>
      <c r="G5" s="41">
        <v>2</v>
      </c>
      <c r="H5" s="42">
        <f t="shared" si="0"/>
        <v>0.34899496702500971</v>
      </c>
      <c r="I5" s="43">
        <f t="shared" si="1"/>
        <v>35.698043095770672</v>
      </c>
    </row>
    <row r="6" spans="1:9" x14ac:dyDescent="0.35">
      <c r="A6" s="40">
        <v>5</v>
      </c>
      <c r="B6" s="41">
        <v>30</v>
      </c>
      <c r="C6" s="41">
        <v>40</v>
      </c>
      <c r="D6" s="41">
        <v>40</v>
      </c>
      <c r="E6" s="41">
        <v>391938</v>
      </c>
      <c r="F6" s="41">
        <v>9134888</v>
      </c>
      <c r="G6" s="41">
        <v>2</v>
      </c>
      <c r="H6" s="42">
        <f t="shared" si="0"/>
        <v>0.34899496702500971</v>
      </c>
      <c r="I6" s="43">
        <f t="shared" si="1"/>
        <v>36.047038062795679</v>
      </c>
    </row>
    <row r="7" spans="1:9" x14ac:dyDescent="0.35">
      <c r="A7" s="40">
        <v>6</v>
      </c>
      <c r="B7" s="41">
        <v>40</v>
      </c>
      <c r="C7" s="41">
        <v>50</v>
      </c>
      <c r="D7" s="41">
        <v>50</v>
      </c>
      <c r="E7" s="41">
        <v>391948</v>
      </c>
      <c r="F7" s="41">
        <v>9134888</v>
      </c>
      <c r="G7" s="41">
        <v>1</v>
      </c>
      <c r="H7" s="42">
        <f t="shared" si="0"/>
        <v>0.17452406437283513</v>
      </c>
      <c r="I7" s="43">
        <f t="shared" si="1"/>
        <v>36.221562127168511</v>
      </c>
    </row>
    <row r="8" spans="1:9" x14ac:dyDescent="0.35">
      <c r="A8" s="40">
        <v>7</v>
      </c>
      <c r="B8" s="41">
        <v>50</v>
      </c>
      <c r="C8" s="41">
        <v>60</v>
      </c>
      <c r="D8" s="41">
        <v>60</v>
      </c>
      <c r="E8" s="41">
        <v>391959</v>
      </c>
      <c r="F8" s="41">
        <v>9134891</v>
      </c>
      <c r="G8" s="41">
        <v>0</v>
      </c>
      <c r="H8" s="42">
        <f t="shared" si="0"/>
        <v>0</v>
      </c>
      <c r="I8" s="43">
        <f t="shared" si="1"/>
        <v>36.221562127168511</v>
      </c>
    </row>
    <row r="9" spans="1:9" x14ac:dyDescent="0.35">
      <c r="A9" s="40">
        <v>8</v>
      </c>
      <c r="B9" s="41">
        <v>60</v>
      </c>
      <c r="C9" s="41">
        <v>70</v>
      </c>
      <c r="D9" s="41">
        <v>70</v>
      </c>
      <c r="E9" s="41">
        <v>391970</v>
      </c>
      <c r="F9" s="41">
        <v>9134896</v>
      </c>
      <c r="G9" s="41">
        <v>0</v>
      </c>
      <c r="H9" s="42">
        <f t="shared" si="0"/>
        <v>0</v>
      </c>
      <c r="I9" s="43">
        <f t="shared" si="1"/>
        <v>36.221562127168511</v>
      </c>
    </row>
    <row r="10" spans="1:9" x14ac:dyDescent="0.35">
      <c r="A10" s="40">
        <v>9</v>
      </c>
      <c r="B10" s="41">
        <v>70</v>
      </c>
      <c r="C10" s="41">
        <v>80</v>
      </c>
      <c r="D10" s="41">
        <v>80</v>
      </c>
      <c r="E10" s="41">
        <v>391982</v>
      </c>
      <c r="F10" s="41">
        <v>9134904</v>
      </c>
      <c r="G10" s="41">
        <v>0</v>
      </c>
      <c r="H10" s="42">
        <f t="shared" si="0"/>
        <v>0</v>
      </c>
      <c r="I10" s="43">
        <f t="shared" si="1"/>
        <v>36.221562127168511</v>
      </c>
    </row>
    <row r="11" spans="1:9" x14ac:dyDescent="0.35">
      <c r="A11" s="40">
        <v>10</v>
      </c>
      <c r="B11" s="41">
        <v>80</v>
      </c>
      <c r="C11" s="41">
        <v>90</v>
      </c>
      <c r="D11" s="41">
        <v>90</v>
      </c>
      <c r="E11" s="41">
        <v>391989</v>
      </c>
      <c r="F11" s="41">
        <v>9134905</v>
      </c>
      <c r="G11" s="41">
        <v>-1</v>
      </c>
      <c r="H11" s="42">
        <f t="shared" si="0"/>
        <v>-0.17452406437283513</v>
      </c>
      <c r="I11" s="43">
        <f t="shared" si="1"/>
        <v>36.047038062795679</v>
      </c>
    </row>
    <row r="12" spans="1:9" x14ac:dyDescent="0.35">
      <c r="A12" s="40">
        <v>11</v>
      </c>
      <c r="B12" s="41">
        <v>90</v>
      </c>
      <c r="C12" s="41">
        <v>100</v>
      </c>
      <c r="D12" s="41">
        <v>100</v>
      </c>
      <c r="E12" s="41">
        <v>391998</v>
      </c>
      <c r="F12" s="41">
        <v>9134910</v>
      </c>
      <c r="G12" s="41">
        <v>0</v>
      </c>
      <c r="H12" s="42">
        <f t="shared" si="0"/>
        <v>0</v>
      </c>
      <c r="I12" s="43">
        <f t="shared" si="1"/>
        <v>36.047038062795679</v>
      </c>
    </row>
    <row r="13" spans="1:9" x14ac:dyDescent="0.35">
      <c r="A13" s="40">
        <v>12</v>
      </c>
      <c r="B13" s="41">
        <v>100</v>
      </c>
      <c r="C13" s="41">
        <v>110</v>
      </c>
      <c r="D13" s="41">
        <v>110</v>
      </c>
      <c r="E13" s="41">
        <v>392012</v>
      </c>
      <c r="F13" s="41">
        <v>9134911</v>
      </c>
      <c r="G13" s="41">
        <v>1</v>
      </c>
      <c r="H13" s="42">
        <f t="shared" si="0"/>
        <v>0.17452406437283513</v>
      </c>
      <c r="I13" s="43">
        <f t="shared" si="1"/>
        <v>36.221562127168511</v>
      </c>
    </row>
    <row r="14" spans="1:9" x14ac:dyDescent="0.35">
      <c r="A14" s="40">
        <v>13</v>
      </c>
      <c r="B14" s="41">
        <v>110</v>
      </c>
      <c r="C14" s="41">
        <v>120</v>
      </c>
      <c r="D14" s="41">
        <v>120</v>
      </c>
      <c r="E14" s="41">
        <v>392017</v>
      </c>
      <c r="F14" s="45">
        <v>9134918</v>
      </c>
      <c r="G14" s="41">
        <v>2</v>
      </c>
      <c r="H14" s="42">
        <f t="shared" si="0"/>
        <v>0.34899496702500971</v>
      </c>
      <c r="I14" s="43">
        <f t="shared" si="1"/>
        <v>36.570557094193518</v>
      </c>
    </row>
    <row r="15" spans="1:9" x14ac:dyDescent="0.35">
      <c r="A15" s="40">
        <v>14</v>
      </c>
      <c r="B15" s="41">
        <v>120</v>
      </c>
      <c r="C15" s="41">
        <v>130</v>
      </c>
      <c r="D15" s="41">
        <v>130</v>
      </c>
      <c r="E15" s="41">
        <v>392025</v>
      </c>
      <c r="F15" s="41">
        <v>9134923</v>
      </c>
      <c r="G15" s="41">
        <v>-1</v>
      </c>
      <c r="H15" s="42">
        <f t="shared" si="0"/>
        <v>-0.17452406437283513</v>
      </c>
      <c r="I15" s="43">
        <f t="shared" si="1"/>
        <v>36.396033029820686</v>
      </c>
    </row>
    <row r="16" spans="1:9" x14ac:dyDescent="0.35">
      <c r="A16" s="40">
        <v>15</v>
      </c>
      <c r="B16" s="41">
        <v>130</v>
      </c>
      <c r="C16" s="41">
        <v>140</v>
      </c>
      <c r="D16" s="41">
        <v>140</v>
      </c>
      <c r="E16" s="41">
        <v>392036</v>
      </c>
      <c r="F16" s="41">
        <v>9134925</v>
      </c>
      <c r="G16" s="41">
        <v>0</v>
      </c>
      <c r="H16" s="42">
        <f t="shared" si="0"/>
        <v>0</v>
      </c>
      <c r="I16" s="43">
        <f t="shared" si="1"/>
        <v>36.396033029820686</v>
      </c>
    </row>
    <row r="17" spans="1:9" x14ac:dyDescent="0.35">
      <c r="A17" s="40">
        <v>16</v>
      </c>
      <c r="B17" s="41">
        <v>140</v>
      </c>
      <c r="C17" s="41">
        <v>150</v>
      </c>
      <c r="D17" s="41">
        <v>150</v>
      </c>
      <c r="E17" s="41">
        <v>392043</v>
      </c>
      <c r="F17" s="41">
        <v>9134927</v>
      </c>
      <c r="G17" s="41">
        <v>0</v>
      </c>
      <c r="H17" s="42">
        <f t="shared" si="0"/>
        <v>0</v>
      </c>
      <c r="I17" s="43">
        <f t="shared" si="1"/>
        <v>36.396033029820686</v>
      </c>
    </row>
    <row r="18" spans="1:9" x14ac:dyDescent="0.35">
      <c r="A18" s="40">
        <v>17</v>
      </c>
      <c r="B18" s="41">
        <v>150</v>
      </c>
      <c r="C18" s="41">
        <v>160</v>
      </c>
      <c r="D18" s="41">
        <v>160</v>
      </c>
      <c r="E18" s="41">
        <v>392053</v>
      </c>
      <c r="F18" s="41">
        <v>9134929</v>
      </c>
      <c r="G18" s="41">
        <v>0</v>
      </c>
      <c r="H18" s="42">
        <f t="shared" si="0"/>
        <v>0</v>
      </c>
      <c r="I18" s="43">
        <f t="shared" si="1"/>
        <v>36.396033029820686</v>
      </c>
    </row>
    <row r="19" spans="1:9" x14ac:dyDescent="0.35">
      <c r="A19" s="40">
        <v>18</v>
      </c>
      <c r="B19" s="41">
        <v>160</v>
      </c>
      <c r="C19" s="41">
        <v>170</v>
      </c>
      <c r="D19" s="41">
        <v>170</v>
      </c>
      <c r="E19" s="41">
        <v>392063</v>
      </c>
      <c r="F19" s="41">
        <v>9134930</v>
      </c>
      <c r="G19" s="41">
        <v>0</v>
      </c>
      <c r="H19" s="42">
        <f t="shared" si="0"/>
        <v>0</v>
      </c>
      <c r="I19" s="43">
        <f t="shared" si="1"/>
        <v>36.396033029820686</v>
      </c>
    </row>
    <row r="20" spans="1:9" x14ac:dyDescent="0.35">
      <c r="A20" s="40">
        <v>19</v>
      </c>
      <c r="B20" s="41">
        <v>170</v>
      </c>
      <c r="C20" s="41">
        <v>180</v>
      </c>
      <c r="D20" s="41">
        <v>180</v>
      </c>
      <c r="E20" s="41">
        <v>392074</v>
      </c>
      <c r="F20" s="41">
        <v>9134927</v>
      </c>
      <c r="G20" s="41">
        <v>0</v>
      </c>
      <c r="H20" s="42">
        <f t="shared" si="0"/>
        <v>0</v>
      </c>
      <c r="I20" s="43">
        <f t="shared" si="1"/>
        <v>36.396033029820686</v>
      </c>
    </row>
    <row r="21" spans="1:9" x14ac:dyDescent="0.35">
      <c r="A21" s="40">
        <v>20</v>
      </c>
      <c r="B21" s="41">
        <v>180</v>
      </c>
      <c r="C21" s="41">
        <v>190</v>
      </c>
      <c r="D21" s="41">
        <v>190</v>
      </c>
      <c r="E21" s="41">
        <v>392087</v>
      </c>
      <c r="F21" s="41">
        <v>9134932</v>
      </c>
      <c r="G21" s="41">
        <v>1</v>
      </c>
      <c r="H21" s="42">
        <f t="shared" si="0"/>
        <v>0.17452406437283513</v>
      </c>
      <c r="I21" s="43">
        <f t="shared" si="1"/>
        <v>36.570557094193518</v>
      </c>
    </row>
    <row r="22" spans="1:9" ht="15" thickBot="1" x14ac:dyDescent="0.4">
      <c r="A22" s="46">
        <v>21</v>
      </c>
      <c r="B22" s="47">
        <v>190</v>
      </c>
      <c r="C22" s="47">
        <v>200</v>
      </c>
      <c r="D22" s="47">
        <v>200</v>
      </c>
      <c r="E22" s="47">
        <v>392095</v>
      </c>
      <c r="F22" s="47">
        <v>9134934</v>
      </c>
      <c r="G22" s="47">
        <v>1</v>
      </c>
      <c r="H22" s="42">
        <f t="shared" si="0"/>
        <v>0.17452406437283513</v>
      </c>
      <c r="I22" s="43">
        <f t="shared" si="1"/>
        <v>36.74508115856635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TOPOGRAFI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Cahyarani</dc:creator>
  <cp:lastModifiedBy>Alya Cahyarani</cp:lastModifiedBy>
  <dcterms:created xsi:type="dcterms:W3CDTF">2025-11-04T03:45:02Z</dcterms:created>
  <dcterms:modified xsi:type="dcterms:W3CDTF">2025-11-04T03:46:03Z</dcterms:modified>
</cp:coreProperties>
</file>